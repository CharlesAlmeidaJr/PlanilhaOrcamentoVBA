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harles Almeida\Desktop\Facul\"/>
    </mc:Choice>
  </mc:AlternateContent>
  <xr:revisionPtr revIDLastSave="0" documentId="8_{A174D45F-45DF-48CB-8C36-EBA9AF1CC3CE}" xr6:coauthVersionLast="47" xr6:coauthVersionMax="47" xr10:uidLastSave="{00000000-0000-0000-0000-000000000000}"/>
  <bookViews>
    <workbookView xWindow="-120" yWindow="-120" windowWidth="20730" windowHeight="11160" xr2:uid="{DCC023F8-9A41-4062-BF50-692B8B93C1DA}"/>
  </bookViews>
  <sheets>
    <sheet name="Partida" sheetId="1" r:id="rId1"/>
    <sheet name="Orçamento" sheetId="3" r:id="rId2"/>
    <sheet name="BD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F2" i="3" s="1"/>
  <c r="B2" i="3"/>
  <c r="C8" i="1"/>
  <c r="R29" i="1"/>
  <c r="R30" i="1"/>
  <c r="Q27" i="1"/>
  <c r="Q26" i="1"/>
  <c r="Q25" i="1"/>
  <c r="Q24" i="1"/>
  <c r="Q23" i="1"/>
  <c r="Q22" i="1"/>
  <c r="Q16" i="1"/>
  <c r="Q21" i="1"/>
  <c r="Q20" i="1"/>
  <c r="Q19" i="1"/>
  <c r="Q18" i="1"/>
  <c r="Q17" i="1"/>
  <c r="Q14" i="1"/>
  <c r="Q13" i="1"/>
  <c r="Q12" i="1"/>
  <c r="Q11" i="1"/>
  <c r="Q10" i="1"/>
  <c r="Q9" i="1"/>
  <c r="Q8" i="1"/>
  <c r="Q7" i="1"/>
  <c r="Q6" i="1"/>
  <c r="Q5" i="1"/>
  <c r="P23" i="1"/>
  <c r="P24" i="1"/>
  <c r="P25" i="1"/>
  <c r="P26" i="1"/>
  <c r="P27" i="1"/>
  <c r="P22" i="1"/>
  <c r="P17" i="1"/>
  <c r="P18" i="1"/>
  <c r="P19" i="1"/>
  <c r="P20" i="1"/>
  <c r="P21" i="1"/>
  <c r="P16" i="1"/>
  <c r="P11" i="1"/>
  <c r="P12" i="1"/>
  <c r="P13" i="1"/>
  <c r="P14" i="1"/>
  <c r="P10" i="1"/>
  <c r="P6" i="1"/>
  <c r="P7" i="1"/>
  <c r="P8" i="1"/>
  <c r="P9" i="1"/>
  <c r="P5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R26" i="1" l="1"/>
  <c r="R24" i="1"/>
  <c r="R10" i="1"/>
  <c r="R23" i="1"/>
  <c r="R22" i="1"/>
  <c r="R27" i="1"/>
  <c r="R14" i="1"/>
  <c r="R6" i="1"/>
  <c r="R12" i="1"/>
  <c r="R20" i="1"/>
  <c r="R25" i="1"/>
  <c r="R8" i="1"/>
  <c r="R16" i="1"/>
  <c r="R18" i="1"/>
  <c r="R5" i="1"/>
  <c r="R9" i="1"/>
  <c r="R11" i="1"/>
  <c r="R19" i="1"/>
  <c r="R7" i="1"/>
  <c r="R13" i="1"/>
  <c r="R21" i="1"/>
  <c r="R17" i="1"/>
</calcChain>
</file>

<file path=xl/sharedStrings.xml><?xml version="1.0" encoding="utf-8"?>
<sst xmlns="http://schemas.openxmlformats.org/spreadsheetml/2006/main" count="94" uniqueCount="61">
  <si>
    <t>ID</t>
  </si>
  <si>
    <t>Produto</t>
  </si>
  <si>
    <t>Preço</t>
  </si>
  <si>
    <t>c380v09a</t>
  </si>
  <si>
    <t>c380v12a</t>
  </si>
  <si>
    <t>c380v25a</t>
  </si>
  <si>
    <t>c380v32a</t>
  </si>
  <si>
    <t>c380v60a</t>
  </si>
  <si>
    <t>Contator Tripolar 380V 9A</t>
  </si>
  <si>
    <t>Contator Tripolar 380V 12A</t>
  </si>
  <si>
    <t>Contator Tripolar 380V 25A</t>
  </si>
  <si>
    <t>Contator Tripolar 380V 32A</t>
  </si>
  <si>
    <t>Contator Tripolar 380V 60A</t>
  </si>
  <si>
    <t>c440v09a</t>
  </si>
  <si>
    <t>Contator Tripolar 440V 9A</t>
  </si>
  <si>
    <t>c440v12a</t>
  </si>
  <si>
    <t>Contator Tripolar 440V 12A</t>
  </si>
  <si>
    <t>c440v25a</t>
  </si>
  <si>
    <t>Contator Tripolar 440V 25A</t>
  </si>
  <si>
    <t>c440v32a</t>
  </si>
  <si>
    <t>Contator Tripolar 440V 32A</t>
  </si>
  <si>
    <t>c440v60a</t>
  </si>
  <si>
    <t>Contator Tripolar 440V 60A</t>
  </si>
  <si>
    <t>d380v10a</t>
  </si>
  <si>
    <t>d380v16a</t>
  </si>
  <si>
    <t>d380v20a</t>
  </si>
  <si>
    <t>d380v25a</t>
  </si>
  <si>
    <t>d380v32a</t>
  </si>
  <si>
    <t>Disjuntor Tripolar 380V 10A</t>
  </si>
  <si>
    <t>Disjuntor Tripolar 380V 16A</t>
  </si>
  <si>
    <t>Disjuntor Tripolar 380V 20A</t>
  </si>
  <si>
    <t>Disjuntor Tripolar 380V 25A</t>
  </si>
  <si>
    <t>Disjuntor Tripolar 380V 32A</t>
  </si>
  <si>
    <t>d440v10a</t>
  </si>
  <si>
    <t>d440v16a</t>
  </si>
  <si>
    <t>d440v20a</t>
  </si>
  <si>
    <t>d440v25a</t>
  </si>
  <si>
    <t>d440v32a</t>
  </si>
  <si>
    <t>Disjuntor Tripolar 440V 10A</t>
  </si>
  <si>
    <t>Disjuntor Tripolar 440V 16A</t>
  </si>
  <si>
    <t>Disjuntor Tripolar 440V 20A</t>
  </si>
  <si>
    <t>Disjuntor Tripolar 440V 25A</t>
  </si>
  <si>
    <t>Disjuntor Tripolar 440V 32A</t>
  </si>
  <si>
    <t>d380v63a</t>
  </si>
  <si>
    <t>Disjuntor Tripolar 380V 63A</t>
  </si>
  <si>
    <t>d440v63a</t>
  </si>
  <si>
    <t>Disjuntor Tripolar 440V 63A</t>
  </si>
  <si>
    <t>Botão Pulsador Verde</t>
  </si>
  <si>
    <t>Botão Pulsador Vermelho</t>
  </si>
  <si>
    <t>btVd</t>
  </si>
  <si>
    <t>btVm</t>
  </si>
  <si>
    <t>Partida Direta</t>
  </si>
  <si>
    <t>Qnt</t>
  </si>
  <si>
    <t>Volts</t>
  </si>
  <si>
    <t>Amperes</t>
  </si>
  <si>
    <t>Total</t>
  </si>
  <si>
    <t>Contatores</t>
  </si>
  <si>
    <t>Disjuntores</t>
  </si>
  <si>
    <t>Botões</t>
  </si>
  <si>
    <t>Tensão</t>
  </si>
  <si>
    <t>Corrente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</si>
</sst>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.##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36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/>
    <xf numFmtId="0" fontId="3" fillId="3" borderId="4" xfId="0" applyFont="1" applyFill="1" applyBorder="1"/>
    <xf numFmtId="0" fontId="3" fillId="2" borderId="0" xfId="0" applyFont="1" applyFill="1"/>
    <xf numFmtId="0" fontId="3" fillId="3" borderId="5" xfId="0" applyFont="1" applyFill="1" applyBorder="1"/>
    <xf numFmtId="0" fontId="3" fillId="3" borderId="0" xfId="0" applyFont="1" applyFill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4" fillId="3" borderId="0" xfId="0" applyFont="1" applyFill="1"/>
    <xf numFmtId="0" fontId="5" fillId="3" borderId="0" xfId="0" applyFont="1" applyFill="1"/>
    <xf numFmtId="0" fontId="3" fillId="3" borderId="10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/>
    <xf numFmtId="0" fontId="0" fillId="3" borderId="11" xfId="0" applyFill="1" applyBorder="1"/>
    <xf numFmtId="0" fontId="6" fillId="6" borderId="10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0" fillId="3" borderId="16" xfId="0" applyFill="1" applyBorder="1"/>
    <xf numFmtId="0" fontId="9" fillId="3" borderId="2" xfId="0" applyFont="1" applyFill="1" applyBorder="1"/>
    <xf numFmtId="0" fontId="6" fillId="6" borderId="10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3" borderId="10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/>
    </xf>
    <xf numFmtId="0" fontId="0" fillId="3" borderId="1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942975</xdr:colOff>
          <xdr:row>3</xdr:row>
          <xdr:rowOff>38100</xdr:rowOff>
        </xdr:from>
        <xdr:to>
          <xdr:col>2</xdr:col>
          <xdr:colOff>1933575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161925</xdr:rowOff>
        </xdr:from>
        <xdr:to>
          <xdr:col>4</xdr:col>
          <xdr:colOff>381000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Mandar para orçamento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BCED5-2866-4DEE-BF78-D1BAC24F5ED3}">
  <sheetPr codeName="Planilha1"/>
  <dimension ref="A1:R52"/>
  <sheetViews>
    <sheetView tabSelected="1" zoomScale="150" zoomScaleNormal="150" workbookViewId="0"/>
  </sheetViews>
  <sheetFormatPr defaultRowHeight="14.25" x14ac:dyDescent="0.2"/>
  <cols>
    <col min="1" max="1" width="3.140625" style="7" customWidth="1"/>
    <col min="2" max="2" width="12.7109375" style="7" customWidth="1"/>
    <col min="3" max="3" width="30.7109375" style="7" customWidth="1"/>
    <col min="4" max="4" width="12.7109375" style="7" customWidth="1"/>
    <col min="5" max="7" width="9.140625" style="7"/>
    <col min="8" max="8" width="9.140625" style="7" hidden="1" customWidth="1"/>
    <col min="9" max="9" width="12.140625" style="7" hidden="1" customWidth="1"/>
    <col min="10" max="14" width="9.140625" style="7" hidden="1" customWidth="1"/>
    <col min="15" max="17" width="12.7109375" style="20" hidden="1" customWidth="1"/>
    <col min="18" max="18" width="9.140625" style="20" hidden="1" customWidth="1"/>
    <col min="19" max="16384" width="9.140625" style="7"/>
  </cols>
  <sheetData>
    <row r="1" spans="1:18" ht="14.25" customHeight="1" x14ac:dyDescent="0.2">
      <c r="A1" s="32"/>
      <c r="B1" s="5"/>
      <c r="C1" s="5"/>
      <c r="D1" s="5"/>
      <c r="E1" s="6"/>
    </row>
    <row r="2" spans="1:18" ht="51" customHeight="1" x14ac:dyDescent="0.6">
      <c r="A2" s="8"/>
      <c r="B2" s="15" t="s">
        <v>51</v>
      </c>
      <c r="C2" s="9"/>
      <c r="D2" s="9"/>
      <c r="E2" s="10"/>
    </row>
    <row r="3" spans="1:18" ht="14.25" customHeight="1" x14ac:dyDescent="0.2">
      <c r="A3" s="8"/>
      <c r="B3" s="14"/>
      <c r="C3" s="9"/>
      <c r="D3" s="9"/>
      <c r="E3" s="10"/>
      <c r="H3" s="23" t="s">
        <v>53</v>
      </c>
      <c r="I3" s="23" t="s">
        <v>54</v>
      </c>
      <c r="J3" s="23" t="s">
        <v>52</v>
      </c>
      <c r="O3" s="27" t="s">
        <v>0</v>
      </c>
      <c r="P3" s="27" t="s">
        <v>59</v>
      </c>
      <c r="Q3" s="27" t="s">
        <v>60</v>
      </c>
      <c r="R3" s="27" t="s">
        <v>55</v>
      </c>
    </row>
    <row r="4" spans="1:18" ht="14.25" customHeight="1" x14ac:dyDescent="0.2">
      <c r="A4" s="8"/>
      <c r="B4" s="14"/>
      <c r="C4" s="9"/>
      <c r="D4" s="9">
        <v>2</v>
      </c>
      <c r="E4" s="10"/>
      <c r="H4" s="22">
        <v>440</v>
      </c>
      <c r="I4" s="22">
        <v>50</v>
      </c>
      <c r="J4" s="22">
        <v>5</v>
      </c>
      <c r="O4" s="33" t="s">
        <v>56</v>
      </c>
      <c r="P4" s="33"/>
      <c r="Q4" s="33"/>
      <c r="R4" s="33"/>
    </row>
    <row r="5" spans="1:18" ht="14.25" customHeight="1" x14ac:dyDescent="0.2">
      <c r="A5" s="8"/>
      <c r="B5" s="14"/>
      <c r="C5" s="9"/>
      <c r="D5" s="9">
        <v>2</v>
      </c>
      <c r="E5" s="10"/>
      <c r="H5" s="21">
        <v>380</v>
      </c>
      <c r="I5" s="21"/>
      <c r="O5" s="16" t="s">
        <v>3</v>
      </c>
      <c r="P5" s="16">
        <f>IF($H$4=380,1,0)</f>
        <v>0</v>
      </c>
      <c r="Q5" s="16">
        <f>IF(AND($I$4&lt;=9,$I$4&lt;&gt;""),1,0)</f>
        <v>0</v>
      </c>
      <c r="R5" s="16">
        <f>P5*Q5*$J$4</f>
        <v>0</v>
      </c>
    </row>
    <row r="6" spans="1:18" x14ac:dyDescent="0.2">
      <c r="A6" s="8"/>
      <c r="B6" s="9"/>
      <c r="C6" s="9"/>
      <c r="D6" s="9"/>
      <c r="E6" s="10"/>
      <c r="H6" s="21">
        <v>440</v>
      </c>
      <c r="I6" s="21"/>
      <c r="O6" s="16" t="s">
        <v>4</v>
      </c>
      <c r="P6" s="16">
        <f t="shared" ref="P6:P9" si="0">IF($H$4=380,1,0)</f>
        <v>0</v>
      </c>
      <c r="Q6" s="16">
        <f>IF(AND($I$4&gt;9,$I$4&lt;=12,$I$4&lt;&gt;""),1,0)</f>
        <v>0</v>
      </c>
      <c r="R6" s="16">
        <f t="shared" ref="R6:R30" si="1">P6*Q6*$J$4</f>
        <v>0</v>
      </c>
    </row>
    <row r="7" spans="1:18" ht="15" hidden="1" x14ac:dyDescent="0.2">
      <c r="A7" s="8"/>
      <c r="B7" s="18" t="s">
        <v>0</v>
      </c>
      <c r="C7" s="19" t="s">
        <v>1</v>
      </c>
      <c r="D7" s="18" t="s">
        <v>52</v>
      </c>
      <c r="E7" s="10"/>
      <c r="O7" s="16" t="s">
        <v>5</v>
      </c>
      <c r="P7" s="16">
        <f t="shared" si="0"/>
        <v>0</v>
      </c>
      <c r="Q7" s="16">
        <f>IF(AND($I$4&gt;12,$I$4&lt;=25,$I$4&lt;&gt;""),1,0)</f>
        <v>0</v>
      </c>
      <c r="R7" s="16">
        <f t="shared" si="1"/>
        <v>0</v>
      </c>
    </row>
    <row r="8" spans="1:18" hidden="1" x14ac:dyDescent="0.2">
      <c r="A8" s="8"/>
      <c r="B8" s="16"/>
      <c r="C8" s="17" t="str">
        <f>IFERROR(VLOOKUP(B8,BD!$A$2:$C$25,2,FALSE),"")</f>
        <v/>
      </c>
      <c r="D8" s="16"/>
      <c r="E8" s="10"/>
      <c r="O8" s="16" t="s">
        <v>6</v>
      </c>
      <c r="P8" s="16">
        <f t="shared" si="0"/>
        <v>0</v>
      </c>
      <c r="Q8" s="16">
        <f>IF(AND($I$4&gt;25,$I$4&lt;=32,$I$4&lt;&gt;""),1,0)</f>
        <v>0</v>
      </c>
      <c r="R8" s="16">
        <f t="shared" si="1"/>
        <v>0</v>
      </c>
    </row>
    <row r="9" spans="1:18" hidden="1" x14ac:dyDescent="0.2">
      <c r="A9" s="8"/>
      <c r="B9" s="16"/>
      <c r="C9" s="17" t="str">
        <f>IFERROR(VLOOKUP(B9,BD!$A$2:$C$25,2,FALSE),"")</f>
        <v/>
      </c>
      <c r="D9" s="16"/>
      <c r="E9" s="10"/>
      <c r="O9" s="16" t="s">
        <v>7</v>
      </c>
      <c r="P9" s="16">
        <f t="shared" si="0"/>
        <v>0</v>
      </c>
      <c r="Q9" s="16">
        <f>IF(AND($I$4&gt;32,$I$4&lt;=60,$I$4&lt;&gt;""),1,0)</f>
        <v>1</v>
      </c>
      <c r="R9" s="16">
        <f t="shared" si="1"/>
        <v>0</v>
      </c>
    </row>
    <row r="10" spans="1:18" hidden="1" x14ac:dyDescent="0.2">
      <c r="A10" s="8"/>
      <c r="B10" s="16"/>
      <c r="C10" s="17" t="str">
        <f>IFERROR(VLOOKUP(B10,BD!$A$2:$C$25,2,FALSE),"")</f>
        <v/>
      </c>
      <c r="D10" s="16"/>
      <c r="E10" s="10"/>
      <c r="O10" s="16" t="s">
        <v>13</v>
      </c>
      <c r="P10" s="16">
        <f>IF($H$4=440,1,0)</f>
        <v>1</v>
      </c>
      <c r="Q10" s="16">
        <f>IF(AND($I$4&lt;=9,$I$4&lt;&gt;""),1,0)</f>
        <v>0</v>
      </c>
      <c r="R10" s="16">
        <f t="shared" si="1"/>
        <v>0</v>
      </c>
    </row>
    <row r="11" spans="1:18" hidden="1" x14ac:dyDescent="0.2">
      <c r="A11" s="8"/>
      <c r="B11" s="16"/>
      <c r="C11" s="17" t="str">
        <f>IFERROR(VLOOKUP(B11,BD!$A$2:$C$25,2,FALSE),"")</f>
        <v/>
      </c>
      <c r="D11" s="16"/>
      <c r="E11" s="10"/>
      <c r="O11" s="16" t="s">
        <v>15</v>
      </c>
      <c r="P11" s="16">
        <f t="shared" ref="P11:P14" si="2">IF($H$4=440,1,0)</f>
        <v>1</v>
      </c>
      <c r="Q11" s="16">
        <f>IF(AND($I$4&gt;9,$I$4&lt;=12,$I$4&lt;&gt;""),1,0)</f>
        <v>0</v>
      </c>
      <c r="R11" s="16">
        <f t="shared" si="1"/>
        <v>0</v>
      </c>
    </row>
    <row r="12" spans="1:18" hidden="1" x14ac:dyDescent="0.2">
      <c r="A12" s="8"/>
      <c r="B12" s="16"/>
      <c r="C12" s="17" t="str">
        <f>IFERROR(VLOOKUP(B12,BD!$A$2:$C$25,2,FALSE),"")</f>
        <v/>
      </c>
      <c r="D12" s="16"/>
      <c r="E12" s="10"/>
      <c r="O12" s="16" t="s">
        <v>17</v>
      </c>
      <c r="P12" s="16">
        <f t="shared" si="2"/>
        <v>1</v>
      </c>
      <c r="Q12" s="16">
        <f>IF(AND($I$4&gt;12,$I$4&lt;=25,$I$4&lt;&gt;""),1,0)</f>
        <v>0</v>
      </c>
      <c r="R12" s="16">
        <f t="shared" si="1"/>
        <v>0</v>
      </c>
    </row>
    <row r="13" spans="1:18" hidden="1" x14ac:dyDescent="0.2">
      <c r="A13" s="8"/>
      <c r="B13" s="16"/>
      <c r="C13" s="17" t="str">
        <f>IFERROR(VLOOKUP(B13,BD!$A$2:$C$25,2,FALSE),"")</f>
        <v/>
      </c>
      <c r="D13" s="16"/>
      <c r="E13" s="10"/>
      <c r="O13" s="16" t="s">
        <v>19</v>
      </c>
      <c r="P13" s="16">
        <f t="shared" si="2"/>
        <v>1</v>
      </c>
      <c r="Q13" s="16">
        <f>IF(AND($I$4&gt;25,$I$4&lt;=32,$I$4&lt;&gt;""),1,0)</f>
        <v>0</v>
      </c>
      <c r="R13" s="16">
        <f t="shared" si="1"/>
        <v>0</v>
      </c>
    </row>
    <row r="14" spans="1:18" hidden="1" x14ac:dyDescent="0.2">
      <c r="A14" s="8"/>
      <c r="B14" s="16"/>
      <c r="C14" s="17" t="str">
        <f>IFERROR(VLOOKUP(B14,BD!$A$2:$C$25,2,FALSE),"")</f>
        <v/>
      </c>
      <c r="D14" s="16"/>
      <c r="E14" s="10"/>
      <c r="O14" s="16" t="s">
        <v>21</v>
      </c>
      <c r="P14" s="16">
        <f t="shared" si="2"/>
        <v>1</v>
      </c>
      <c r="Q14" s="16">
        <f>IF(AND($I$4&gt;32,$I$4&lt;=60,$I$4&lt;&gt;""),1,0)</f>
        <v>1</v>
      </c>
      <c r="R14" s="16">
        <f t="shared" si="1"/>
        <v>5</v>
      </c>
    </row>
    <row r="15" spans="1:18" ht="15" hidden="1" x14ac:dyDescent="0.2">
      <c r="A15" s="8"/>
      <c r="B15" s="16"/>
      <c r="C15" s="17" t="str">
        <f>IFERROR(VLOOKUP(B15,BD!$A$2:$C$25,2,FALSE),"")</f>
        <v/>
      </c>
      <c r="D15" s="16"/>
      <c r="E15" s="10"/>
      <c r="O15" s="33" t="s">
        <v>57</v>
      </c>
      <c r="P15" s="33"/>
      <c r="Q15" s="33"/>
      <c r="R15" s="33"/>
    </row>
    <row r="16" spans="1:18" hidden="1" x14ac:dyDescent="0.2">
      <c r="A16" s="8"/>
      <c r="B16" s="16"/>
      <c r="C16" s="17" t="str">
        <f>IFERROR(VLOOKUP(B16,BD!$A$2:$C$25,2,FALSE),"")</f>
        <v/>
      </c>
      <c r="D16" s="16"/>
      <c r="E16" s="10"/>
      <c r="O16" s="16" t="s">
        <v>23</v>
      </c>
      <c r="P16" s="16">
        <f>IF($H$4=380,1,0)</f>
        <v>0</v>
      </c>
      <c r="Q16" s="16">
        <f>IF(AND($I$4&lt;=10,$I$4&lt;&gt;""),1,0)</f>
        <v>0</v>
      </c>
      <c r="R16" s="16">
        <f t="shared" si="1"/>
        <v>0</v>
      </c>
    </row>
    <row r="17" spans="1:18" hidden="1" x14ac:dyDescent="0.2">
      <c r="A17" s="8"/>
      <c r="B17" s="16"/>
      <c r="C17" s="17" t="str">
        <f>IFERROR(VLOOKUP(B17,BD!$A$2:$C$25,2,FALSE),"")</f>
        <v/>
      </c>
      <c r="D17" s="16"/>
      <c r="E17" s="10"/>
      <c r="O17" s="16" t="s">
        <v>24</v>
      </c>
      <c r="P17" s="16">
        <f t="shared" ref="P17:P21" si="3">IF($H$4=380,1,0)</f>
        <v>0</v>
      </c>
      <c r="Q17" s="16">
        <f>IF(AND($I$4&gt;10,$I$4&lt;=16,$I$4&lt;&gt;""),1,0)</f>
        <v>0</v>
      </c>
      <c r="R17" s="16">
        <f t="shared" si="1"/>
        <v>0</v>
      </c>
    </row>
    <row r="18" spans="1:18" hidden="1" x14ac:dyDescent="0.2">
      <c r="A18" s="8"/>
      <c r="B18" s="16"/>
      <c r="C18" s="17" t="str">
        <f>IFERROR(VLOOKUP(B18,BD!$A$2:$C$25,2,FALSE),"")</f>
        <v/>
      </c>
      <c r="D18" s="16"/>
      <c r="E18" s="10"/>
      <c r="O18" s="16" t="s">
        <v>25</v>
      </c>
      <c r="P18" s="16">
        <f t="shared" si="3"/>
        <v>0</v>
      </c>
      <c r="Q18" s="16">
        <f>IF(AND($I$4&gt;16,$I$4&lt;=20,$I$4&lt;&gt;""),1,0)</f>
        <v>0</v>
      </c>
      <c r="R18" s="16">
        <f t="shared" si="1"/>
        <v>0</v>
      </c>
    </row>
    <row r="19" spans="1:18" hidden="1" x14ac:dyDescent="0.2">
      <c r="A19" s="8"/>
      <c r="B19" s="16"/>
      <c r="C19" s="17" t="str">
        <f>IFERROR(VLOOKUP(B19,BD!$A$2:$C$25,2,FALSE),"")</f>
        <v/>
      </c>
      <c r="D19" s="16"/>
      <c r="E19" s="10"/>
      <c r="O19" s="16" t="s">
        <v>26</v>
      </c>
      <c r="P19" s="16">
        <f t="shared" si="3"/>
        <v>0</v>
      </c>
      <c r="Q19" s="16">
        <f>IF(AND($I$4&gt;20,$I$4&lt;=25,$I$4&lt;&gt;""),1,0)</f>
        <v>0</v>
      </c>
      <c r="R19" s="16">
        <f t="shared" si="1"/>
        <v>0</v>
      </c>
    </row>
    <row r="20" spans="1:18" hidden="1" x14ac:dyDescent="0.2">
      <c r="A20" s="8"/>
      <c r="B20" s="16"/>
      <c r="C20" s="17" t="str">
        <f>IFERROR(VLOOKUP(B20,BD!$A$2:$C$25,2,FALSE),"")</f>
        <v/>
      </c>
      <c r="D20" s="16"/>
      <c r="E20" s="10"/>
      <c r="O20" s="16" t="s">
        <v>27</v>
      </c>
      <c r="P20" s="16">
        <f t="shared" si="3"/>
        <v>0</v>
      </c>
      <c r="Q20" s="16">
        <f>IF(AND($I$4&gt;25,$I$4&lt;=32,$I$4&lt;&gt;""),1,0)</f>
        <v>0</v>
      </c>
      <c r="R20" s="16">
        <f t="shared" si="1"/>
        <v>0</v>
      </c>
    </row>
    <row r="21" spans="1:18" hidden="1" x14ac:dyDescent="0.2">
      <c r="A21" s="8"/>
      <c r="B21" s="16"/>
      <c r="C21" s="17" t="str">
        <f>IFERROR(VLOOKUP(B21,BD!$A$2:$C$25,2,FALSE),"")</f>
        <v/>
      </c>
      <c r="D21" s="16"/>
      <c r="E21" s="10"/>
      <c r="O21" s="16" t="s">
        <v>43</v>
      </c>
      <c r="P21" s="16">
        <f t="shared" si="3"/>
        <v>0</v>
      </c>
      <c r="Q21" s="16">
        <f>IF(AND($I$4&gt;32,$I$4&lt;=63,$I$4&lt;&gt;""),1,0)</f>
        <v>1</v>
      </c>
      <c r="R21" s="16">
        <f t="shared" si="1"/>
        <v>0</v>
      </c>
    </row>
    <row r="22" spans="1:18" hidden="1" x14ac:dyDescent="0.2">
      <c r="A22" s="8"/>
      <c r="B22" s="16"/>
      <c r="C22" s="17" t="str">
        <f>IFERROR(VLOOKUP(B22,BD!$A$2:$C$25,2,FALSE),"")</f>
        <v/>
      </c>
      <c r="D22" s="16"/>
      <c r="E22" s="10"/>
      <c r="O22" s="16" t="s">
        <v>33</v>
      </c>
      <c r="P22" s="16">
        <f t="shared" ref="P22:P27" si="4">IF($H$4=440,1,0)</f>
        <v>1</v>
      </c>
      <c r="Q22" s="16">
        <f>IF(AND($I$4&lt;=10,$I$4&lt;&gt;""),1,0)</f>
        <v>0</v>
      </c>
      <c r="R22" s="16">
        <f t="shared" si="1"/>
        <v>0</v>
      </c>
    </row>
    <row r="23" spans="1:18" hidden="1" x14ac:dyDescent="0.2">
      <c r="A23" s="8"/>
      <c r="B23" s="16"/>
      <c r="C23" s="17" t="str">
        <f>IFERROR(VLOOKUP(B23,BD!$A$2:$C$25,2,FALSE),"")</f>
        <v/>
      </c>
      <c r="D23" s="16"/>
      <c r="E23" s="10"/>
      <c r="O23" s="16" t="s">
        <v>34</v>
      </c>
      <c r="P23" s="16">
        <f t="shared" si="4"/>
        <v>1</v>
      </c>
      <c r="Q23" s="16">
        <f>IF(AND($I$4&gt;10,$I$4&lt;=16,$I$4&lt;&gt;""),1,0)</f>
        <v>0</v>
      </c>
      <c r="R23" s="16">
        <f t="shared" si="1"/>
        <v>0</v>
      </c>
    </row>
    <row r="24" spans="1:18" hidden="1" x14ac:dyDescent="0.2">
      <c r="A24" s="8"/>
      <c r="B24" s="16"/>
      <c r="C24" s="17" t="str">
        <f>IFERROR(VLOOKUP(B24,BD!$A$2:$C$25,2,FALSE),"")</f>
        <v/>
      </c>
      <c r="D24" s="16"/>
      <c r="E24" s="10"/>
      <c r="O24" s="16" t="s">
        <v>35</v>
      </c>
      <c r="P24" s="16">
        <f t="shared" si="4"/>
        <v>1</v>
      </c>
      <c r="Q24" s="16">
        <f>IF(AND($I$4&gt;16,$I$4&lt;=20,$I$4&lt;&gt;""),1,0)</f>
        <v>0</v>
      </c>
      <c r="R24" s="16">
        <f t="shared" si="1"/>
        <v>0</v>
      </c>
    </row>
    <row r="25" spans="1:18" hidden="1" x14ac:dyDescent="0.2">
      <c r="A25" s="8"/>
      <c r="B25" s="16"/>
      <c r="C25" s="17" t="str">
        <f>IFERROR(VLOOKUP(B25,BD!$A$2:$C$25,2,FALSE),"")</f>
        <v/>
      </c>
      <c r="D25" s="16"/>
      <c r="E25" s="10"/>
      <c r="O25" s="16" t="s">
        <v>36</v>
      </c>
      <c r="P25" s="16">
        <f t="shared" si="4"/>
        <v>1</v>
      </c>
      <c r="Q25" s="16">
        <f>IF(AND($I$4&gt;20,$I$4&lt;=25,$I$4&lt;&gt;""),1,0)</f>
        <v>0</v>
      </c>
      <c r="R25" s="16">
        <f t="shared" si="1"/>
        <v>0</v>
      </c>
    </row>
    <row r="26" spans="1:18" hidden="1" x14ac:dyDescent="0.2">
      <c r="A26" s="8"/>
      <c r="B26" s="16"/>
      <c r="C26" s="17" t="str">
        <f>IFERROR(VLOOKUP(B26,BD!$A$2:$C$25,2,FALSE),"")</f>
        <v/>
      </c>
      <c r="D26" s="16"/>
      <c r="E26" s="10"/>
      <c r="O26" s="16" t="s">
        <v>37</v>
      </c>
      <c r="P26" s="16">
        <f t="shared" si="4"/>
        <v>1</v>
      </c>
      <c r="Q26" s="16">
        <f>IF(AND($I$4&gt;25,$I$4&lt;=32,$I$4&lt;&gt;""),1,0)</f>
        <v>0</v>
      </c>
      <c r="R26" s="16">
        <f t="shared" si="1"/>
        <v>0</v>
      </c>
    </row>
    <row r="27" spans="1:18" hidden="1" x14ac:dyDescent="0.2">
      <c r="A27" s="8"/>
      <c r="B27" s="16"/>
      <c r="C27" s="17" t="str">
        <f>IFERROR(VLOOKUP(B27,BD!$A$2:$C$25,2,FALSE),"")</f>
        <v/>
      </c>
      <c r="D27" s="16"/>
      <c r="E27" s="10"/>
      <c r="O27" s="16" t="s">
        <v>45</v>
      </c>
      <c r="P27" s="16">
        <f t="shared" si="4"/>
        <v>1</v>
      </c>
      <c r="Q27" s="16">
        <f>IF(AND($I$4&gt;32,$I$4&lt;=63,$I$4&lt;&gt;""),1,0)</f>
        <v>1</v>
      </c>
      <c r="R27" s="16">
        <f t="shared" si="1"/>
        <v>5</v>
      </c>
    </row>
    <row r="28" spans="1:18" ht="15" hidden="1" x14ac:dyDescent="0.2">
      <c r="A28" s="8"/>
      <c r="B28" s="16"/>
      <c r="C28" s="17" t="str">
        <f>IFERROR(VLOOKUP(B28,BD!$A$2:$C$25,2,FALSE),"")</f>
        <v/>
      </c>
      <c r="D28" s="16"/>
      <c r="E28" s="10"/>
      <c r="O28" s="33" t="s">
        <v>58</v>
      </c>
      <c r="P28" s="33"/>
      <c r="Q28" s="33"/>
      <c r="R28" s="33"/>
    </row>
    <row r="29" spans="1:18" hidden="1" x14ac:dyDescent="0.2">
      <c r="A29" s="8"/>
      <c r="B29" s="16"/>
      <c r="C29" s="17" t="str">
        <f>IFERROR(VLOOKUP(B29,BD!$A$2:$C$25,2,FALSE),"")</f>
        <v/>
      </c>
      <c r="D29" s="16"/>
      <c r="E29" s="10"/>
      <c r="O29" s="16" t="s">
        <v>49</v>
      </c>
      <c r="P29" s="16">
        <v>1</v>
      </c>
      <c r="Q29" s="16">
        <v>1</v>
      </c>
      <c r="R29" s="16">
        <f>P29*Q29*$J$4</f>
        <v>5</v>
      </c>
    </row>
    <row r="30" spans="1:18" hidden="1" x14ac:dyDescent="0.2">
      <c r="A30" s="8"/>
      <c r="B30" s="16"/>
      <c r="C30" s="17" t="str">
        <f>IFERROR(VLOOKUP(B30,BD!$A$2:$C$25,2,FALSE),"")</f>
        <v/>
      </c>
      <c r="D30" s="16"/>
      <c r="E30" s="10"/>
      <c r="O30" s="16" t="s">
        <v>50</v>
      </c>
      <c r="P30" s="16">
        <v>1</v>
      </c>
      <c r="Q30" s="16">
        <v>1</v>
      </c>
      <c r="R30" s="16">
        <f t="shared" si="1"/>
        <v>5</v>
      </c>
    </row>
    <row r="31" spans="1:18" hidden="1" x14ac:dyDescent="0.2">
      <c r="A31" s="8"/>
      <c r="B31" s="16"/>
      <c r="C31" s="17" t="str">
        <f>IFERROR(VLOOKUP(B31,BD!$A$2:$C$25,2,FALSE),"")</f>
        <v/>
      </c>
      <c r="D31" s="16"/>
      <c r="E31" s="10"/>
    </row>
    <row r="32" spans="1:18" hidden="1" x14ac:dyDescent="0.2">
      <c r="A32" s="8"/>
      <c r="B32" s="16"/>
      <c r="C32" s="17" t="str">
        <f>IFERROR(VLOOKUP(B32,BD!$A$2:$C$25,2,FALSE),"")</f>
        <v/>
      </c>
      <c r="D32" s="16"/>
      <c r="E32" s="10"/>
    </row>
    <row r="33" spans="1:5" hidden="1" x14ac:dyDescent="0.2">
      <c r="A33" s="8"/>
      <c r="B33" s="16"/>
      <c r="C33" s="17" t="str">
        <f>IFERROR(VLOOKUP(B33,BD!$A$2:$C$25,2,FALSE),"")</f>
        <v/>
      </c>
      <c r="D33" s="16"/>
      <c r="E33" s="10"/>
    </row>
    <row r="34" spans="1:5" hidden="1" x14ac:dyDescent="0.2">
      <c r="A34" s="8"/>
      <c r="B34" s="16"/>
      <c r="C34" s="17" t="str">
        <f>IFERROR(VLOOKUP(B34,BD!$A$2:$C$25,2,FALSE),"")</f>
        <v/>
      </c>
      <c r="D34" s="16"/>
      <c r="E34" s="10"/>
    </row>
    <row r="35" spans="1:5" hidden="1" x14ac:dyDescent="0.2">
      <c r="A35" s="8"/>
      <c r="B35" s="16"/>
      <c r="C35" s="17" t="str">
        <f>IFERROR(VLOOKUP(B35,BD!$A$2:$C$25,2,FALSE),"")</f>
        <v/>
      </c>
      <c r="D35" s="16"/>
      <c r="E35" s="10"/>
    </row>
    <row r="36" spans="1:5" hidden="1" x14ac:dyDescent="0.2">
      <c r="A36" s="8"/>
      <c r="B36" s="16"/>
      <c r="C36" s="17" t="str">
        <f>IFERROR(VLOOKUP(B36,BD!$A$2:$C$25,2,FALSE),"")</f>
        <v/>
      </c>
      <c r="D36" s="16"/>
      <c r="E36" s="10"/>
    </row>
    <row r="37" spans="1:5" hidden="1" x14ac:dyDescent="0.2">
      <c r="A37" s="8"/>
      <c r="B37" s="16"/>
      <c r="C37" s="17" t="str">
        <f>IFERROR(VLOOKUP(B37,BD!$A$2:$C$25,2,FALSE),"")</f>
        <v/>
      </c>
      <c r="D37" s="16"/>
      <c r="E37" s="10"/>
    </row>
    <row r="38" spans="1:5" hidden="1" x14ac:dyDescent="0.2">
      <c r="A38" s="8"/>
      <c r="B38" s="16"/>
      <c r="C38" s="17" t="str">
        <f>IFERROR(VLOOKUP(B38,BD!$A$2:$C$25,2,FALSE),"")</f>
        <v/>
      </c>
      <c r="D38" s="16"/>
      <c r="E38" s="10"/>
    </row>
    <row r="39" spans="1:5" hidden="1" x14ac:dyDescent="0.2">
      <c r="A39" s="8"/>
      <c r="B39" s="16"/>
      <c r="C39" s="17" t="str">
        <f>IFERROR(VLOOKUP(B39,BD!$A$2:$C$25,2,FALSE),"")</f>
        <v/>
      </c>
      <c r="D39" s="16"/>
      <c r="E39" s="10"/>
    </row>
    <row r="40" spans="1:5" hidden="1" x14ac:dyDescent="0.2">
      <c r="A40" s="8"/>
      <c r="B40" s="16"/>
      <c r="C40" s="17" t="str">
        <f>IFERROR(VLOOKUP(B40,BD!$A$2:$C$25,2,FALSE),"")</f>
        <v/>
      </c>
      <c r="D40" s="16"/>
      <c r="E40" s="10"/>
    </row>
    <row r="41" spans="1:5" hidden="1" x14ac:dyDescent="0.2">
      <c r="A41" s="8"/>
      <c r="B41" s="16"/>
      <c r="C41" s="17" t="str">
        <f>IFERROR(VLOOKUP(B41,BD!$A$2:$C$25,2,FALSE),"")</f>
        <v/>
      </c>
      <c r="D41" s="16"/>
      <c r="E41" s="10"/>
    </row>
    <row r="42" spans="1:5" hidden="1" x14ac:dyDescent="0.2">
      <c r="A42" s="8"/>
      <c r="B42" s="16"/>
      <c r="C42" s="17" t="str">
        <f>IFERROR(VLOOKUP(B42,BD!$A$2:$C$25,2,FALSE),"")</f>
        <v/>
      </c>
      <c r="D42" s="16"/>
      <c r="E42" s="10"/>
    </row>
    <row r="43" spans="1:5" hidden="1" x14ac:dyDescent="0.2">
      <c r="A43" s="8"/>
      <c r="B43" s="16"/>
      <c r="C43" s="17" t="str">
        <f>IFERROR(VLOOKUP(B43,BD!$A$2:$C$25,2,FALSE),"")</f>
        <v/>
      </c>
      <c r="D43" s="16"/>
      <c r="E43" s="10"/>
    </row>
    <row r="44" spans="1:5" hidden="1" x14ac:dyDescent="0.2">
      <c r="A44" s="8"/>
      <c r="B44" s="16"/>
      <c r="C44" s="17" t="str">
        <f>IFERROR(VLOOKUP(B44,BD!$A$2:$C$25,2,FALSE),"")</f>
        <v/>
      </c>
      <c r="D44" s="16"/>
      <c r="E44" s="10"/>
    </row>
    <row r="45" spans="1:5" hidden="1" x14ac:dyDescent="0.2">
      <c r="A45" s="8"/>
      <c r="B45" s="16"/>
      <c r="C45" s="17" t="str">
        <f>IFERROR(VLOOKUP(B45,BD!$A$2:$C$25,2,FALSE),"")</f>
        <v/>
      </c>
      <c r="D45" s="16"/>
      <c r="E45" s="10"/>
    </row>
    <row r="46" spans="1:5" hidden="1" x14ac:dyDescent="0.2">
      <c r="A46" s="8"/>
      <c r="B46" s="16"/>
      <c r="C46" s="17" t="str">
        <f>IFERROR(VLOOKUP(B46,BD!$A$2:$C$25,2,FALSE),"")</f>
        <v/>
      </c>
      <c r="D46" s="16"/>
      <c r="E46" s="10"/>
    </row>
    <row r="47" spans="1:5" hidden="1" x14ac:dyDescent="0.2">
      <c r="A47" s="8"/>
      <c r="B47" s="16"/>
      <c r="C47" s="17" t="str">
        <f>IFERROR(VLOOKUP(B47,BD!$A$2:$C$25,2,FALSE),"")</f>
        <v/>
      </c>
      <c r="D47" s="16"/>
      <c r="E47" s="10"/>
    </row>
    <row r="48" spans="1:5" hidden="1" x14ac:dyDescent="0.2">
      <c r="A48" s="8"/>
      <c r="B48" s="16"/>
      <c r="C48" s="17" t="str">
        <f>IFERROR(VLOOKUP(B48,BD!$A$2:$C$25,2,FALSE),"")</f>
        <v/>
      </c>
      <c r="D48" s="16"/>
      <c r="E48" s="10"/>
    </row>
    <row r="49" spans="1:5" hidden="1" x14ac:dyDescent="0.2">
      <c r="A49" s="8"/>
      <c r="B49" s="16"/>
      <c r="C49" s="17" t="str">
        <f>IFERROR(VLOOKUP(B49,BD!$A$2:$C$25,2,FALSE),"")</f>
        <v/>
      </c>
      <c r="D49" s="16"/>
      <c r="E49" s="10"/>
    </row>
    <row r="50" spans="1:5" hidden="1" x14ac:dyDescent="0.2">
      <c r="A50" s="8"/>
      <c r="B50" s="16"/>
      <c r="C50" s="17" t="str">
        <f>IFERROR(VLOOKUP(B50,BD!$A$2:$C$25,2,FALSE),"")</f>
        <v/>
      </c>
      <c r="D50" s="16"/>
      <c r="E50" s="10"/>
    </row>
    <row r="51" spans="1:5" hidden="1" x14ac:dyDescent="0.2">
      <c r="A51" s="8"/>
      <c r="B51" s="9"/>
      <c r="C51" s="9"/>
      <c r="D51" s="9"/>
      <c r="E51" s="10"/>
    </row>
    <row r="52" spans="1:5" ht="15" thickBot="1" x14ac:dyDescent="0.25">
      <c r="A52" s="11"/>
      <c r="B52" s="12"/>
      <c r="C52" s="12"/>
      <c r="D52" s="12"/>
      <c r="E52" s="13"/>
    </row>
  </sheetData>
  <mergeCells count="3">
    <mergeCell ref="O4:R4"/>
    <mergeCell ref="O15:R15"/>
    <mergeCell ref="O28:R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Configurar">
                <anchor moveWithCells="1" sizeWithCells="1">
                  <from>
                    <xdr:col>2</xdr:col>
                    <xdr:colOff>942975</xdr:colOff>
                    <xdr:row>3</xdr:row>
                    <xdr:rowOff>38100</xdr:rowOff>
                  </from>
                  <to>
                    <xdr:col>2</xdr:col>
                    <xdr:colOff>1933575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tOrcamento">
                <anchor moveWithCells="1" sizeWithCells="1">
                  <from>
                    <xdr:col>3</xdr:col>
                    <xdr:colOff>76200</xdr:colOff>
                    <xdr:row>2</xdr:row>
                    <xdr:rowOff>161925</xdr:rowOff>
                  </from>
                  <to>
                    <xdr:col>4</xdr:col>
                    <xdr:colOff>381000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E1744-1BCF-4AB3-BBE0-BFA330D3E6EA}">
  <sheetPr codeName="Planilha2"/>
  <dimension ref="A1:F2"/>
  <sheetViews>
    <sheetView workbookViewId="0">
      <selection activeCell="A3" sqref="A3"/>
    </sheetView>
  </sheetViews>
  <sheetFormatPr defaultRowHeight="15" x14ac:dyDescent="0.25"/>
  <cols>
    <col min="1" max="1" width="12.7109375" style="26" customWidth="1"/>
    <col min="2" max="2" width="34.5703125" style="31" customWidth="1"/>
    <col min="3" max="3" width="4.42578125" style="37" customWidth="1"/>
    <col min="4" max="4" width="9.140625" style="36" customWidth="1"/>
    <col min="5" max="5" width="12.7109375" style="36" customWidth="1"/>
    <col min="6" max="6" width="12.7109375" style="39" customWidth="1"/>
    <col min="7" max="16384" width="9.140625" style="25"/>
  </cols>
  <sheetData>
    <row r="1" spans="1:6" s="24" customFormat="1" x14ac:dyDescent="0.25">
      <c r="A1" s="28" t="s">
        <v>0</v>
      </c>
      <c r="B1" s="34" t="s">
        <v>1</v>
      </c>
      <c r="C1" s="35"/>
      <c r="D1" s="29" t="s">
        <v>52</v>
      </c>
      <c r="E1" s="29" t="s">
        <v>2</v>
      </c>
      <c r="F1" s="30" t="s">
        <v>55</v>
      </c>
    </row>
    <row r="2" spans="1:6" hidden="1" x14ac:dyDescent="0.25">
      <c r="B2" s="31" t="str">
        <f>IFERROR(VLOOKUP(A2,BD!$A$2:$C$25,2,FALSE),"")</f>
        <v/>
      </c>
      <c r="E2" s="38" t="str">
        <f>IFERROR(VLOOKUP(A2,BD!$A$2:$C$25,3,FALSE),"")</f>
        <v/>
      </c>
      <c r="F2" s="39" t="e">
        <f>D2*E2</f>
        <v>#VALUE!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4A906-C269-450E-A9AD-B6DDE37894AB}">
  <sheetPr codeName="Planilha3"/>
  <dimension ref="A1:C2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.7109375" style="2" customWidth="1"/>
    <col min="2" max="2" width="30.7109375" customWidth="1"/>
    <col min="3" max="3" width="12.7109375" style="1" customWidth="1"/>
  </cols>
  <sheetData>
    <row r="1" spans="1:3" s="3" customFormat="1" ht="15.75" thickBot="1" x14ac:dyDescent="0.3">
      <c r="A1" s="3" t="s">
        <v>0</v>
      </c>
      <c r="B1" s="3" t="s">
        <v>1</v>
      </c>
      <c r="C1" s="4" t="s">
        <v>2</v>
      </c>
    </row>
    <row r="2" spans="1:3" x14ac:dyDescent="0.25">
      <c r="A2" s="2" t="s">
        <v>3</v>
      </c>
      <c r="B2" t="s">
        <v>8</v>
      </c>
      <c r="C2" s="1">
        <v>40</v>
      </c>
    </row>
    <row r="3" spans="1:3" x14ac:dyDescent="0.25">
      <c r="A3" s="2" t="s">
        <v>4</v>
      </c>
      <c r="B3" t="s">
        <v>9</v>
      </c>
      <c r="C3" s="1">
        <v>50</v>
      </c>
    </row>
    <row r="4" spans="1:3" x14ac:dyDescent="0.25">
      <c r="A4" s="2" t="s">
        <v>5</v>
      </c>
      <c r="B4" t="s">
        <v>10</v>
      </c>
      <c r="C4" s="1">
        <v>65</v>
      </c>
    </row>
    <row r="5" spans="1:3" x14ac:dyDescent="0.25">
      <c r="A5" s="2" t="s">
        <v>6</v>
      </c>
      <c r="B5" t="s">
        <v>11</v>
      </c>
      <c r="C5" s="1">
        <v>80</v>
      </c>
    </row>
    <row r="6" spans="1:3" x14ac:dyDescent="0.25">
      <c r="A6" s="2" t="s">
        <v>7</v>
      </c>
      <c r="B6" t="s">
        <v>12</v>
      </c>
      <c r="C6" s="1">
        <v>120</v>
      </c>
    </row>
    <row r="7" spans="1:3" x14ac:dyDescent="0.25">
      <c r="A7" s="2" t="s">
        <v>13</v>
      </c>
      <c r="B7" t="s">
        <v>14</v>
      </c>
      <c r="C7" s="1">
        <v>45</v>
      </c>
    </row>
    <row r="8" spans="1:3" x14ac:dyDescent="0.25">
      <c r="A8" s="2" t="s">
        <v>15</v>
      </c>
      <c r="B8" t="s">
        <v>16</v>
      </c>
      <c r="C8" s="1">
        <v>55</v>
      </c>
    </row>
    <row r="9" spans="1:3" x14ac:dyDescent="0.25">
      <c r="A9" s="2" t="s">
        <v>17</v>
      </c>
      <c r="B9" t="s">
        <v>18</v>
      </c>
      <c r="C9" s="1">
        <v>70</v>
      </c>
    </row>
    <row r="10" spans="1:3" x14ac:dyDescent="0.25">
      <c r="A10" s="2" t="s">
        <v>19</v>
      </c>
      <c r="B10" t="s">
        <v>20</v>
      </c>
      <c r="C10" s="1">
        <v>85</v>
      </c>
    </row>
    <row r="11" spans="1:3" x14ac:dyDescent="0.25">
      <c r="A11" s="2" t="s">
        <v>21</v>
      </c>
      <c r="B11" t="s">
        <v>22</v>
      </c>
      <c r="C11" s="1">
        <v>125</v>
      </c>
    </row>
    <row r="12" spans="1:3" x14ac:dyDescent="0.25">
      <c r="A12" s="2" t="s">
        <v>23</v>
      </c>
      <c r="B12" t="s">
        <v>28</v>
      </c>
      <c r="C12" s="1">
        <v>25</v>
      </c>
    </row>
    <row r="13" spans="1:3" x14ac:dyDescent="0.25">
      <c r="A13" s="2" t="s">
        <v>24</v>
      </c>
      <c r="B13" t="s">
        <v>29</v>
      </c>
      <c r="C13" s="1">
        <v>30</v>
      </c>
    </row>
    <row r="14" spans="1:3" x14ac:dyDescent="0.25">
      <c r="A14" s="2" t="s">
        <v>25</v>
      </c>
      <c r="B14" t="s">
        <v>30</v>
      </c>
      <c r="C14" s="1">
        <v>40</v>
      </c>
    </row>
    <row r="15" spans="1:3" x14ac:dyDescent="0.25">
      <c r="A15" s="2" t="s">
        <v>26</v>
      </c>
      <c r="B15" t="s">
        <v>31</v>
      </c>
      <c r="C15" s="1">
        <v>48</v>
      </c>
    </row>
    <row r="16" spans="1:3" x14ac:dyDescent="0.25">
      <c r="A16" s="2" t="s">
        <v>27</v>
      </c>
      <c r="B16" t="s">
        <v>32</v>
      </c>
      <c r="C16" s="1">
        <v>60</v>
      </c>
    </row>
    <row r="17" spans="1:3" x14ac:dyDescent="0.25">
      <c r="A17" s="2" t="s">
        <v>43</v>
      </c>
      <c r="B17" t="s">
        <v>44</v>
      </c>
      <c r="C17" s="1">
        <v>100</v>
      </c>
    </row>
    <row r="18" spans="1:3" x14ac:dyDescent="0.25">
      <c r="A18" s="2" t="s">
        <v>33</v>
      </c>
      <c r="B18" t="s">
        <v>38</v>
      </c>
      <c r="C18" s="1">
        <v>30</v>
      </c>
    </row>
    <row r="19" spans="1:3" x14ac:dyDescent="0.25">
      <c r="A19" s="2" t="s">
        <v>34</v>
      </c>
      <c r="B19" t="s">
        <v>39</v>
      </c>
      <c r="C19" s="1">
        <v>35</v>
      </c>
    </row>
    <row r="20" spans="1:3" x14ac:dyDescent="0.25">
      <c r="A20" s="2" t="s">
        <v>35</v>
      </c>
      <c r="B20" t="s">
        <v>40</v>
      </c>
      <c r="C20" s="1">
        <v>45</v>
      </c>
    </row>
    <row r="21" spans="1:3" x14ac:dyDescent="0.25">
      <c r="A21" s="2" t="s">
        <v>36</v>
      </c>
      <c r="B21" t="s">
        <v>41</v>
      </c>
      <c r="C21" s="1">
        <v>55</v>
      </c>
    </row>
    <row r="22" spans="1:3" x14ac:dyDescent="0.25">
      <c r="A22" s="2" t="s">
        <v>37</v>
      </c>
      <c r="B22" t="s">
        <v>42</v>
      </c>
      <c r="C22" s="1">
        <v>65</v>
      </c>
    </row>
    <row r="23" spans="1:3" x14ac:dyDescent="0.25">
      <c r="A23" s="2" t="s">
        <v>45</v>
      </c>
      <c r="B23" t="s">
        <v>46</v>
      </c>
      <c r="C23" s="1">
        <v>110</v>
      </c>
    </row>
    <row r="24" spans="1:3" x14ac:dyDescent="0.25">
      <c r="A24" s="2" t="s">
        <v>49</v>
      </c>
      <c r="B24" t="s">
        <v>47</v>
      </c>
      <c r="C24" s="1">
        <v>38</v>
      </c>
    </row>
    <row r="25" spans="1:3" x14ac:dyDescent="0.25">
      <c r="A25" s="2" t="s">
        <v>50</v>
      </c>
      <c r="B25" t="s">
        <v>48</v>
      </c>
      <c r="C25" s="1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Partida</vt:lpstr>
      <vt:lpstr>Orçamento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2023-07-12T21:59:01Z</dcterms:created>
  <dcterms:modified xsi:type="dcterms:W3CDTF">2023-08-03T00:08:07Z</dcterms:modified>
</cp:coreProperties>
</file>